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d724ab727c787ea/Desktop/CustomerSupportanalysis/data/raw/"/>
    </mc:Choice>
  </mc:AlternateContent>
  <xr:revisionPtr revIDLastSave="0" documentId="8_{8C71643A-2D1F-4F77-AE69-929A87AE8B52}" xr6:coauthVersionLast="47" xr6:coauthVersionMax="47" xr10:uidLastSave="{00000000-0000-0000-0000-000000000000}"/>
  <bookViews>
    <workbookView xWindow="-108" yWindow="-108" windowWidth="23256" windowHeight="12456" tabRatio="500" firstSheet="1" activeTab="6" xr2:uid="{00000000-000D-0000-FFFF-FFFF00000000}"/>
  </bookViews>
  <sheets>
    <sheet name="Raw" sheetId="1" r:id="rId1"/>
    <sheet name="Lookup" sheetId="2" r:id="rId2"/>
    <sheet name="Clean" sheetId="3" r:id="rId3"/>
    <sheet name="PivotData" sheetId="4" state="hidden" r:id="rId4"/>
    <sheet name="PivotTable" sheetId="5" r:id="rId5"/>
    <sheet name="Summary" sheetId="6" r:id="rId6"/>
    <sheet name="Dashboard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" i="7" l="1"/>
  <c r="E5" i="7"/>
  <c r="B5" i="7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B18" i="3"/>
  <c r="B17" i="3"/>
  <c r="H15" i="3"/>
  <c r="G15" i="3"/>
  <c r="A13" i="4" s="1"/>
  <c r="H14" i="3"/>
  <c r="G14" i="3"/>
  <c r="A12" i="4" s="1"/>
  <c r="H13" i="3"/>
  <c r="G13" i="3"/>
  <c r="A11" i="4" s="1"/>
  <c r="H12" i="3"/>
  <c r="G12" i="3"/>
  <c r="A10" i="4" s="1"/>
  <c r="H11" i="3"/>
  <c r="G11" i="3"/>
  <c r="A9" i="4" s="1"/>
  <c r="H10" i="3"/>
  <c r="G10" i="3"/>
  <c r="A8" i="4" s="1"/>
  <c r="H9" i="3"/>
  <c r="G9" i="3"/>
  <c r="A7" i="4" s="1"/>
  <c r="H8" i="3"/>
  <c r="G8" i="3"/>
  <c r="A6" i="4" s="1"/>
  <c r="H7" i="3"/>
  <c r="G7" i="3"/>
  <c r="A5" i="4" s="1"/>
  <c r="H6" i="3"/>
  <c r="B7" i="6" s="1"/>
  <c r="G6" i="3"/>
  <c r="A4" i="4" s="1"/>
  <c r="H5" i="3"/>
  <c r="B6" i="6" s="1"/>
  <c r="G5" i="3"/>
  <c r="A3" i="4" s="1"/>
  <c r="H4" i="3"/>
  <c r="G4" i="3"/>
  <c r="B18" i="1"/>
  <c r="B5" i="6" l="1"/>
  <c r="H5" i="7"/>
  <c r="C17" i="6"/>
  <c r="D11" i="6"/>
  <c r="B11" i="6"/>
  <c r="A2" i="4"/>
  <c r="B18" i="6"/>
  <c r="B17" i="6"/>
  <c r="D12" i="6"/>
  <c r="C11" i="6"/>
  <c r="C18" i="6"/>
  <c r="C12" i="6"/>
  <c r="B12" i="6"/>
</calcChain>
</file>

<file path=xl/sharedStrings.xml><?xml version="1.0" encoding="utf-8"?>
<sst xmlns="http://schemas.openxmlformats.org/spreadsheetml/2006/main" count="149" uniqueCount="49">
  <si>
    <t>Raw Ticket Data (as received from tickets.csv)</t>
  </si>
  <si>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</si>
  <si>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</si>
  <si>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</si>
  <si>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</si>
  <si>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</si>
  <si>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</si>
  <si>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</si>
  <si>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</si>
  <si>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</si>
  <si>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</si>
  <si>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</si>
  <si>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</si>
  <si>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</si>
  <si>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</si>
  <si>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</si>
  <si>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</si>
  <si>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Row count in Raw (before cleaning):</t>
  </si>
  <si>
    <t>Team Lookup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</si>
  <si>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</si>
  <si>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</si>
  <si>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</si>
  <si>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</si>
  <si>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</si>
  <si>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</si>
  <si>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</si>
  <si>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</si>
  <si>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>Cleaned Ticket Data</t>
  </si>
  <si>
    <t>breach_flag</t>
  </si>
  <si>
    <t>Row count before cleaning (Raw):</t>
  </si>
  <si>
    <t>Row count after cleaning (Clean):</t>
  </si>
  <si>
    <t>PivotTable — Average Resolution Hours by Department x Month</t>
  </si>
  <si>
    <t>Average of resolution_hours</t>
  </si>
  <si>
    <t>Summary &amp; Analysis</t>
  </si>
  <si>
    <t>Breached Tickets by Channel (resolution_hours &gt; 24)</t>
  </si>
  <si>
    <t>Channel</t>
  </si>
  <si>
    <t>Breached Count</t>
  </si>
  <si>
    <t>Average Resolution Hours by Department x Month</t>
  </si>
  <si>
    <t>Department</t>
  </si>
  <si>
    <t>Department Overview</t>
  </si>
  <si>
    <t>Ticket Count</t>
  </si>
  <si>
    <t>Avg Satisfaction</t>
  </si>
  <si>
    <t>Support Tickets Dashboard</t>
  </si>
  <si>
    <t>Total Tickets (cleaned)</t>
  </si>
  <si>
    <t>Avg Resolution Hours</t>
  </si>
  <si>
    <t>Total Breached Tickets</t>
  </si>
  <si>
    <t>Column Labels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</si>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</sst>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30549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305496"/>
      <name val="Arial"/>
      <family val="2"/>
    </font>
    <font>
      <b/>
      <sz val="11"/>
      <name val="Arial"/>
      <family val="2"/>
    </font>
    <font>
      <i/>
      <sz val="9"/>
      <color rgb="FF808080"/>
      <name val="Arial"/>
      <family val="2"/>
    </font>
    <font>
      <b/>
      <sz val="18"/>
      <color rgb="FF305496"/>
      <name val="Arial"/>
      <family val="2"/>
    </font>
    <font>
      <b/>
      <sz val="10"/>
      <color rgb="FFFFFFFF"/>
      <name val="Arial"/>
      <family val="2"/>
    </font>
    <font>
      <b/>
      <sz val="20"/>
      <color rgb="FF305496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7">
    <xf numFmtId="0" fontId="0" fillId="0" borderId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19">
    <xf numFmtId="0" fontId="0" fillId="0" borderId="0" xfId="0"/>
    <xf numFmtId="164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5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1" fontId="4" fillId="0" borderId="1" xfId="0" applyNumberFormat="1" applyFont="1" applyBorder="1"/>
    <xf numFmtId="49" fontId="4" fillId="0" borderId="1" xfId="0" applyNumberFormat="1" applyFont="1" applyBorder="1"/>
    <xf numFmtId="1" fontId="0" fillId="0" borderId="0" xfId="0" applyNumberFormat="1"/>
    <xf numFmtId="164" fontId="4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Resolution Hours by Department and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Summary!$B$11:$B$12</c:f>
              <c:numCache>
                <c:formatCode>0.0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1-4A47-BD47-0812051BB230}"/>
            </c:ext>
          </c:extLst>
        </c:ser>
        <c:ser>
          <c:idx val="1"/>
          <c:order val="1"/>
          <c:tx>
            <c:strRef>
              <c:f>Summary!$C$10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Summary!$C$11:$C$12</c:f>
              <c:numCache>
                <c:formatCode>0.0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1-4A47-BD47-0812051BB230}"/>
            </c:ext>
          </c:extLst>
        </c:ser>
        <c:ser>
          <c:idx val="2"/>
          <c:order val="2"/>
          <c:tx>
            <c:strRef>
              <c:f>Summary!$D$10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Summary!$D$11:$D$12</c:f>
              <c:numCache>
                <c:formatCode>0.0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1-4A47-BD47-0812051BB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60378"/>
        <c:axId val="41708779"/>
      </c:barChart>
      <c:catAx>
        <c:axId val="543603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08779"/>
        <c:crosses val="autoZero"/>
        <c:auto val="1"/>
        <c:lblAlgn val="ctr"/>
        <c:lblOffset val="100"/>
        <c:noMultiLvlLbl val="0"/>
      </c:catAx>
      <c:valAx>
        <c:axId val="41708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Average Resolution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60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Breached Tickets Share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Summary!$B$4</c:f>
              <c:strCache>
                <c:ptCount val="1"/>
                <c:pt idx="0">
                  <c:v>Breached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BAF-4EA0-904D-9C96E0EC1A8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BAF-4EA0-904D-9C96E0EC1A8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BAF-4EA0-904D-9C96E0EC1A8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BAF-4EA0-904D-9C96E0EC1A8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BAF-4EA0-904D-9C96E0EC1A8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BAF-4EA0-904D-9C96E0EC1A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Summary!$A$5:$A$7</c:f>
              <c:strCache>
                <c:ptCount val="3"/>
                <c:pt idx="0">
                  <c:v>Email</c:v>
                </c:pt>
                <c:pt idx="1">
                  <c:v>Chat</c:v>
                </c:pt>
                <c:pt idx="2">
                  <c:v>Phone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AF-4EA0-904D-9C96E0EC1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Ticket 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Summary!$B$16</c:f>
              <c:strCache>
                <c:ptCount val="1"/>
                <c:pt idx="0">
                  <c:v>Ticket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Summary!$A$17:$A$18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Summary!$B$17:$B$18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7-42E2-8543-6F62E944D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30475"/>
        <c:axId val="17992260"/>
      </c:barChart>
      <c:catAx>
        <c:axId val="85730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992260"/>
        <c:crosses val="autoZero"/>
        <c:auto val="1"/>
        <c:lblAlgn val="ctr"/>
        <c:lblOffset val="100"/>
        <c:noMultiLvlLbl val="0"/>
      </c:catAx>
      <c:valAx>
        <c:axId val="17992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304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Resolution Hours: Department x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Summary!$B$11:$B$12</c:f>
              <c:numCache>
                <c:formatCode>0.0</c:formatCode>
                <c:ptCount val="2"/>
                <c:pt idx="0">
                  <c:v>20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B-46CD-BDF6-100823FBE9F1}"/>
            </c:ext>
          </c:extLst>
        </c:ser>
        <c:ser>
          <c:idx val="1"/>
          <c:order val="1"/>
          <c:tx>
            <c:strRef>
              <c:f>Summary!$C$10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Summary!$C$11:$C$12</c:f>
              <c:numCache>
                <c:formatCode>0.0</c:formatCode>
                <c:ptCount val="2"/>
                <c:pt idx="0">
                  <c:v>19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B-46CD-BDF6-100823FBE9F1}"/>
            </c:ext>
          </c:extLst>
        </c:ser>
        <c:ser>
          <c:idx val="2"/>
          <c:order val="2"/>
          <c:tx>
            <c:strRef>
              <c:f>Summary!$D$10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Summary!$A$11:$A$12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Summary!$D$11:$D$12</c:f>
              <c:numCache>
                <c:formatCode>0.0</c:formatCode>
                <c:ptCount val="2"/>
                <c:pt idx="0">
                  <c:v>19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B-46CD-BDF6-100823FBE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85122"/>
        <c:axId val="34750297"/>
      </c:barChart>
      <c:catAx>
        <c:axId val="88585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750297"/>
        <c:crosses val="autoZero"/>
        <c:auto val="1"/>
        <c:lblAlgn val="ctr"/>
        <c:lblOffset val="100"/>
        <c:noMultiLvlLbl val="0"/>
      </c:catAx>
      <c:valAx>
        <c:axId val="34750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5851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Breached Tickets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Summary!$B$4</c:f>
              <c:strCache>
                <c:ptCount val="1"/>
                <c:pt idx="0">
                  <c:v>Breached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124-43F7-BD85-ACCEF45DD04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124-43F7-BD85-ACCEF45DD04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124-43F7-BD85-ACCEF45DD04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124-43F7-BD85-ACCEF45DD04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124-43F7-BD85-ACCEF45DD04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124-43F7-BD85-ACCEF45DD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Summary!$A$5:$A$7</c:f>
              <c:strCache>
                <c:ptCount val="3"/>
                <c:pt idx="0">
                  <c:v>Email</c:v>
                </c:pt>
                <c:pt idx="1">
                  <c:v>Chat</c:v>
                </c:pt>
                <c:pt idx="2">
                  <c:v>Phone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24-43F7-BD85-ACCEF45DD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160560</xdr:rowOff>
    </xdr:from>
    <xdr:to>
      <xdr:col>6</xdr:col>
      <xdr:colOff>402840</xdr:colOff>
      <xdr:row>34</xdr:row>
      <xdr:rowOff>182520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160560</xdr:rowOff>
    </xdr:from>
    <xdr:to>
      <xdr:col>14</xdr:col>
      <xdr:colOff>39240</xdr:colOff>
      <xdr:row>34</xdr:row>
      <xdr:rowOff>182520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190500</xdr:colOff>
      <xdr:row>36</xdr:row>
      <xdr:rowOff>114840</xdr:rowOff>
    </xdr:from>
    <xdr:to>
      <xdr:col>11</xdr:col>
      <xdr:colOff>46860</xdr:colOff>
      <xdr:row>51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100800</xdr:rowOff>
    </xdr:from>
    <xdr:to>
      <xdr:col>10</xdr:col>
      <xdr:colOff>10080</xdr:colOff>
      <xdr:row>24</xdr:row>
      <xdr:rowOff>101880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100800</xdr:rowOff>
    </xdr:from>
    <xdr:to>
      <xdr:col>18</xdr:col>
      <xdr:colOff>398880</xdr:colOff>
      <xdr:row>24</xdr:row>
      <xdr:rowOff>101880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2" xr:uid="{00000000-000A-0000-FFFF-FFFF01000000}">
  <cacheSource type="worksheet">
    <worksheetSource ref="A1:C13" sheet="PivotData"/>
  </cacheSource>
  <cacheFields count="3">
    <cacheField name="department" numFmtId="0">
      <sharedItems count="2">
        <s v="Service"/>
        <s v="Technical"/>
      </sharedItems>
    </cacheField>
    <cacheField name="month" numFmtId="0">
      <sharedItems count="3">
        <s v="Feb"/>
        <s v="Jan"/>
        <s v="Mar"/>
      </sharedItems>
    </cacheField>
    <cacheField name="resolution_hours" numFmtId="0">
      <sharedItems containsSemiMixedTypes="0" containsString="0" containsNumber="1" containsInteger="1" minValue="8" maxValue="40" count="12">
        <n v="8"/>
        <n v="12"/>
        <n v="16"/>
        <n v="18"/>
        <n v="20"/>
        <n v="22"/>
        <n v="24"/>
        <n v="28"/>
        <n v="30"/>
        <n v="32"/>
        <n v="36"/>
        <n v="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1"/>
    <x v="1"/>
  </r>
  <r>
    <x v="0"/>
    <x v="1"/>
    <x v="7"/>
  </r>
  <r>
    <x v="1"/>
    <x v="1"/>
    <x v="10"/>
  </r>
  <r>
    <x v="1"/>
    <x v="1"/>
    <x v="4"/>
  </r>
  <r>
    <x v="0"/>
    <x v="0"/>
    <x v="0"/>
  </r>
  <r>
    <x v="0"/>
    <x v="0"/>
    <x v="8"/>
  </r>
  <r>
    <x v="1"/>
    <x v="0"/>
    <x v="3"/>
  </r>
  <r>
    <x v="1"/>
    <x v="0"/>
    <x v="11"/>
  </r>
  <r>
    <x v="0"/>
    <x v="2"/>
    <x v="2"/>
  </r>
  <r>
    <x v="0"/>
    <x v="2"/>
    <x v="5"/>
  </r>
  <r>
    <x v="1"/>
    <x v="2"/>
    <x v="9"/>
  </r>
  <r>
    <x v="1"/>
    <x v="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ResolutionHoursPivot" cacheId="0" applyNumberFormats="0" applyBorderFormats="0" applyFontFormats="0" applyPatternFormats="0" applyAlignmentFormats="0" applyWidthHeightFormats="0" dataCaption="Values" updatedVersion="8" itemPrintTitles="1" indent="0" outline="1" outlineData="1">
  <location ref="A4:E8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Average of resolution_hours" fld="2" subtotal="average" baseField="0" baseItem="0" numFmtId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zoomScaleNormal="100" workbookViewId="0">
      <selection activeCell="A19" sqref="A19:F19"/>
    </sheetView>
  </sheetViews>
  <sheetFormatPr defaultColWidth="8.6640625" defaultRowHeight="14.4" x14ac:dyDescent="0.3"/>
  <cols>
    <col min="1" max="1" width="11" customWidth="1"/>
    <col min="2" max="3" width="9" customWidth="1"/>
    <col min="4" max="4" width="10" customWidth="1"/>
    <col min="5" max="5" width="16" customWidth="1"/>
    <col min="6" max="6" width="12" customWidth="1"/>
  </cols>
  <sheetData>
    <row r="1" spans="1:6" ht="17.399999999999999" x14ac:dyDescent="0.3">
      <c r="A1" s="7" t="s">
        <v>0</v>
      </c>
      <c r="B1" s="7"/>
      <c r="C1" s="7"/>
      <c r="D1" s="7"/>
      <c r="E1" s="7"/>
      <c r="F1" s="7"/>
    </row>
    <row r="3" spans="1: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x14ac:dyDescent="0.3">
      <c r="A4" s="9">
        <v>1</v>
      </c>
      <c r="B4" s="9" t="s">
        <v>7</v>
      </c>
      <c r="C4" s="9" t="s">
        <v>8</v>
      </c>
      <c r="D4" s="9" t="s">
        <v>9</v>
      </c>
      <c r="E4" s="9">
        <v>12</v>
      </c>
      <c r="F4" s="9">
        <v>4</v>
      </c>
    </row>
    <row r="5" spans="1:6" x14ac:dyDescent="0.3">
      <c r="A5" s="9">
        <v>2</v>
      </c>
      <c r="B5" s="9" t="s">
        <v>7</v>
      </c>
      <c r="C5" s="9" t="s">
        <v>10</v>
      </c>
      <c r="D5" s="9" t="s">
        <v>11</v>
      </c>
      <c r="E5" s="9">
        <v>28</v>
      </c>
      <c r="F5" s="9">
        <v>3</v>
      </c>
    </row>
    <row r="6" spans="1:6" x14ac:dyDescent="0.3">
      <c r="A6" s="9">
        <v>3</v>
      </c>
      <c r="B6" s="9" t="s">
        <v>7</v>
      </c>
      <c r="C6" s="9" t="s">
        <v>12</v>
      </c>
      <c r="D6" s="9" t="s">
        <v>13</v>
      </c>
      <c r="E6" s="9">
        <v>36</v>
      </c>
      <c r="F6" s="9">
        <v>2</v>
      </c>
    </row>
    <row r="7" spans="1:6" x14ac:dyDescent="0.3">
      <c r="A7" s="9">
        <v>4</v>
      </c>
      <c r="B7" s="9" t="s">
        <v>7</v>
      </c>
      <c r="C7" s="9" t="s">
        <v>14</v>
      </c>
      <c r="D7" s="9" t="s">
        <v>13</v>
      </c>
      <c r="E7" s="9">
        <v>20</v>
      </c>
      <c r="F7" s="9">
        <v>4</v>
      </c>
    </row>
    <row r="8" spans="1:6" x14ac:dyDescent="0.3">
      <c r="A8" s="9">
        <v>5</v>
      </c>
      <c r="B8" s="9" t="s">
        <v>15</v>
      </c>
      <c r="C8" s="9" t="s">
        <v>8</v>
      </c>
      <c r="D8" s="9" t="s">
        <v>11</v>
      </c>
      <c r="E8" s="9">
        <v>8</v>
      </c>
      <c r="F8" s="9">
        <v>5</v>
      </c>
    </row>
    <row r="9" spans="1:6" x14ac:dyDescent="0.3">
      <c r="A9" s="9">
        <v>6</v>
      </c>
      <c r="B9" s="9" t="s">
        <v>15</v>
      </c>
      <c r="C9" s="9" t="s">
        <v>10</v>
      </c>
      <c r="D9" s="9" t="s">
        <v>13</v>
      </c>
      <c r="E9" s="9">
        <v>30</v>
      </c>
      <c r="F9" s="9">
        <v>3</v>
      </c>
    </row>
    <row r="10" spans="1:6" x14ac:dyDescent="0.3">
      <c r="A10" s="9">
        <v>7</v>
      </c>
      <c r="B10" s="9" t="s">
        <v>15</v>
      </c>
      <c r="C10" s="9" t="s">
        <v>12</v>
      </c>
      <c r="D10" s="9" t="s">
        <v>9</v>
      </c>
      <c r="E10" s="9">
        <v>18</v>
      </c>
      <c r="F10" s="9">
        <v>4</v>
      </c>
    </row>
    <row r="11" spans="1:6" x14ac:dyDescent="0.3">
      <c r="A11" s="9">
        <v>8</v>
      </c>
      <c r="B11" s="9" t="s">
        <v>15</v>
      </c>
      <c r="C11" s="9" t="s">
        <v>14</v>
      </c>
      <c r="D11" s="9" t="s">
        <v>11</v>
      </c>
      <c r="E11" s="9">
        <v>40</v>
      </c>
      <c r="F11" s="9">
        <v>2</v>
      </c>
    </row>
    <row r="12" spans="1:6" x14ac:dyDescent="0.3">
      <c r="A12" s="9">
        <v>9</v>
      </c>
      <c r="B12" s="9" t="s">
        <v>16</v>
      </c>
      <c r="C12" s="9" t="s">
        <v>8</v>
      </c>
      <c r="D12" s="9" t="s">
        <v>13</v>
      </c>
      <c r="E12" s="9">
        <v>16</v>
      </c>
      <c r="F12" s="9">
        <v>4</v>
      </c>
    </row>
    <row r="13" spans="1:6" x14ac:dyDescent="0.3">
      <c r="A13" s="9">
        <v>10</v>
      </c>
      <c r="B13" s="9" t="s">
        <v>16</v>
      </c>
      <c r="C13" s="9" t="s">
        <v>10</v>
      </c>
      <c r="D13" s="9" t="s">
        <v>9</v>
      </c>
      <c r="E13" s="9">
        <v>22</v>
      </c>
      <c r="F13" s="9">
        <v>4</v>
      </c>
    </row>
    <row r="14" spans="1:6" x14ac:dyDescent="0.3">
      <c r="A14" s="9">
        <v>11</v>
      </c>
      <c r="B14" s="9" t="s">
        <v>16</v>
      </c>
      <c r="C14" s="9" t="s">
        <v>12</v>
      </c>
      <c r="D14" s="9" t="s">
        <v>11</v>
      </c>
      <c r="E14" s="9">
        <v>32</v>
      </c>
      <c r="F14" s="9">
        <v>3</v>
      </c>
    </row>
    <row r="15" spans="1:6" x14ac:dyDescent="0.3">
      <c r="A15" s="9">
        <v>12</v>
      </c>
      <c r="B15" s="9" t="s">
        <v>16</v>
      </c>
      <c r="C15" s="9" t="s">
        <v>14</v>
      </c>
      <c r="D15" s="9" t="s">
        <v>13</v>
      </c>
      <c r="E15" s="9">
        <v>24</v>
      </c>
      <c r="F15" s="9">
        <v>5</v>
      </c>
    </row>
    <row r="16" spans="1:6" x14ac:dyDescent="0.3">
      <c r="A16" s="9">
        <v>12</v>
      </c>
      <c r="B16" s="9" t="s">
        <v>16</v>
      </c>
      <c r="C16" s="9" t="s">
        <v>14</v>
      </c>
      <c r="D16" s="9" t="s">
        <v>13</v>
      </c>
      <c r="E16" s="9">
        <v>24</v>
      </c>
      <c r="F16" s="9">
        <v>5</v>
      </c>
    </row>
    <row r="18" spans="1:2" x14ac:dyDescent="0.3">
      <c r="A18" s="10" t="s">
        <v>17</v>
      </c>
      <c r="B18" s="11">
        <f>COUNTA(A4:A16)</f>
        <v>13</v>
      </c>
    </row>
    <row r="19" spans="1:2" x14ac:dyDescent="0.3">
      <c r="A19" s="12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>
      <selection sqref="A1:C1"/>
    </sheetView>
  </sheetViews>
  <sheetFormatPr defaultColWidth="8.6640625" defaultRowHeight="14.4" x14ac:dyDescent="0.3"/>
  <cols>
    <col min="1" max="1" width="10" customWidth="1"/>
    <col min="2" max="2" width="14" customWidth="1"/>
    <col min="3" max="3" width="12" customWidth="1"/>
  </cols>
  <sheetData>
    <row r="1" spans="1:3" ht="17.399999999999999" x14ac:dyDescent="0.3">
      <c r="A1" s="7" t="s">
        <v>18</v>
      </c>
      <c r="B1" s="7"/>
      <c r="C1" s="7"/>
    </row>
    <row r="3" spans="1:3" x14ac:dyDescent="0.3">
      <c r="A3" s="8" t="s">
        <v>3</v>
      </c>
      <c r="B3" s="8" t="s">
        <v>19</v>
      </c>
      <c r="C3" s="8" t="s">
        <v>20</v>
      </c>
    </row>
    <row r="4" spans="1:3" x14ac:dyDescent="0.3">
      <c r="A4" s="9" t="s">
        <v>8</v>
      </c>
      <c r="B4" s="9" t="s">
        <v>21</v>
      </c>
      <c r="C4" s="9" t="s">
        <v>22</v>
      </c>
    </row>
    <row r="5" spans="1:3" x14ac:dyDescent="0.3">
      <c r="A5" s="9" t="s">
        <v>10</v>
      </c>
      <c r="B5" s="9" t="s">
        <v>23</v>
      </c>
      <c r="C5" s="9" t="s">
        <v>22</v>
      </c>
    </row>
    <row r="6" spans="1:3" x14ac:dyDescent="0.3">
      <c r="A6" s="9" t="s">
        <v>12</v>
      </c>
      <c r="B6" s="9" t="s">
        <v>24</v>
      </c>
      <c r="C6" s="9" t="s">
        <v>25</v>
      </c>
    </row>
    <row r="7" spans="1:3" x14ac:dyDescent="0.3">
      <c r="A7" s="9" t="s">
        <v>14</v>
      </c>
      <c r="B7" s="9" t="s">
        <v>26</v>
      </c>
      <c r="C7" s="9" t="s">
        <v>25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zoomScaleNormal="100" workbookViewId="0">
      <selection sqref="A1:H1"/>
    </sheetView>
  </sheetViews>
  <sheetFormatPr defaultColWidth="8.6640625" defaultRowHeight="14.4" x14ac:dyDescent="0.3"/>
  <cols>
    <col min="1" max="1" width="11" customWidth="1"/>
    <col min="2" max="3" width="9" customWidth="1"/>
    <col min="4" max="4" width="10" customWidth="1"/>
    <col min="5" max="5" width="16" customWidth="1"/>
    <col min="6" max="6" width="12" customWidth="1"/>
    <col min="7" max="8" width="13" customWidth="1"/>
  </cols>
  <sheetData>
    <row r="1" spans="1:8" ht="17.399999999999999" x14ac:dyDescent="0.3">
      <c r="A1" s="7" t="s">
        <v>27</v>
      </c>
      <c r="B1" s="7"/>
      <c r="C1" s="7"/>
      <c r="D1" s="7"/>
      <c r="E1" s="7"/>
      <c r="F1" s="7"/>
      <c r="G1" s="7"/>
      <c r="H1" s="7"/>
    </row>
    <row r="3" spans="1:8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20</v>
      </c>
      <c r="H3" s="8" t="s">
        <v>28</v>
      </c>
    </row>
    <row r="4" spans="1:8" x14ac:dyDescent="0.3">
      <c r="A4" s="13">
        <v>1</v>
      </c>
      <c r="B4" s="14" t="s">
        <v>7</v>
      </c>
      <c r="C4" s="9" t="s">
        <v>8</v>
      </c>
      <c r="D4" s="9" t="s">
        <v>9</v>
      </c>
      <c r="E4" s="13">
        <v>12</v>
      </c>
      <c r="F4" s="13">
        <v>4</v>
      </c>
      <c r="G4" s="9" t="str">
        <f>INDEX(Lookup!$C$4:$C$7,MATCH(C4,Lookup!$A$4:$A$7,0))</f>
        <v>Service</v>
      </c>
      <c r="H4" s="13">
        <f t="shared" ref="H4:H15" si="0">IF(E4&gt;24,1,0)</f>
        <v>0</v>
      </c>
    </row>
    <row r="5" spans="1:8" x14ac:dyDescent="0.3">
      <c r="A5" s="13">
        <v>2</v>
      </c>
      <c r="B5" s="14" t="s">
        <v>7</v>
      </c>
      <c r="C5" s="9" t="s">
        <v>10</v>
      </c>
      <c r="D5" s="9" t="s">
        <v>11</v>
      </c>
      <c r="E5" s="13">
        <v>28</v>
      </c>
      <c r="F5" s="13">
        <v>3</v>
      </c>
      <c r="G5" s="9" t="str">
        <f>INDEX(Lookup!$C$4:$C$7,MATCH(C5,Lookup!$A$4:$A$7,0))</f>
        <v>Service</v>
      </c>
      <c r="H5" s="13">
        <f t="shared" si="0"/>
        <v>1</v>
      </c>
    </row>
    <row r="6" spans="1:8" x14ac:dyDescent="0.3">
      <c r="A6" s="13">
        <v>3</v>
      </c>
      <c r="B6" s="14" t="s">
        <v>7</v>
      </c>
      <c r="C6" s="9" t="s">
        <v>12</v>
      </c>
      <c r="D6" s="9" t="s">
        <v>13</v>
      </c>
      <c r="E6" s="13">
        <v>36</v>
      </c>
      <c r="F6" s="13">
        <v>2</v>
      </c>
      <c r="G6" s="9" t="str">
        <f>INDEX(Lookup!$C$4:$C$7,MATCH(C6,Lookup!$A$4:$A$7,0))</f>
        <v>Technical</v>
      </c>
      <c r="H6" s="13">
        <f t="shared" si="0"/>
        <v>1</v>
      </c>
    </row>
    <row r="7" spans="1:8" x14ac:dyDescent="0.3">
      <c r="A7" s="13">
        <v>4</v>
      </c>
      <c r="B7" s="14" t="s">
        <v>7</v>
      </c>
      <c r="C7" s="9" t="s">
        <v>14</v>
      </c>
      <c r="D7" s="9" t="s">
        <v>13</v>
      </c>
      <c r="E7" s="13">
        <v>20</v>
      </c>
      <c r="F7" s="13">
        <v>4</v>
      </c>
      <c r="G7" s="9" t="str">
        <f>INDEX(Lookup!$C$4:$C$7,MATCH(C7,Lookup!$A$4:$A$7,0))</f>
        <v>Technical</v>
      </c>
      <c r="H7" s="13">
        <f t="shared" si="0"/>
        <v>0</v>
      </c>
    </row>
    <row r="8" spans="1:8" x14ac:dyDescent="0.3">
      <c r="A8" s="13">
        <v>5</v>
      </c>
      <c r="B8" s="14" t="s">
        <v>15</v>
      </c>
      <c r="C8" s="9" t="s">
        <v>8</v>
      </c>
      <c r="D8" s="9" t="s">
        <v>11</v>
      </c>
      <c r="E8" s="13">
        <v>8</v>
      </c>
      <c r="F8" s="13">
        <v>5</v>
      </c>
      <c r="G8" s="9" t="str">
        <f>INDEX(Lookup!$C$4:$C$7,MATCH(C8,Lookup!$A$4:$A$7,0))</f>
        <v>Service</v>
      </c>
      <c r="H8" s="13">
        <f t="shared" si="0"/>
        <v>0</v>
      </c>
    </row>
    <row r="9" spans="1:8" x14ac:dyDescent="0.3">
      <c r="A9" s="13">
        <v>6</v>
      </c>
      <c r="B9" s="14" t="s">
        <v>15</v>
      </c>
      <c r="C9" s="9" t="s">
        <v>10</v>
      </c>
      <c r="D9" s="9" t="s">
        <v>13</v>
      </c>
      <c r="E9" s="13">
        <v>30</v>
      </c>
      <c r="F9" s="13">
        <v>3</v>
      </c>
      <c r="G9" s="9" t="str">
        <f>INDEX(Lookup!$C$4:$C$7,MATCH(C9,Lookup!$A$4:$A$7,0))</f>
        <v>Service</v>
      </c>
      <c r="H9" s="13">
        <f t="shared" si="0"/>
        <v>1</v>
      </c>
    </row>
    <row r="10" spans="1:8" x14ac:dyDescent="0.3">
      <c r="A10" s="13">
        <v>7</v>
      </c>
      <c r="B10" s="14" t="s">
        <v>15</v>
      </c>
      <c r="C10" s="9" t="s">
        <v>12</v>
      </c>
      <c r="D10" s="9" t="s">
        <v>9</v>
      </c>
      <c r="E10" s="13">
        <v>18</v>
      </c>
      <c r="F10" s="13">
        <v>4</v>
      </c>
      <c r="G10" s="9" t="str">
        <f>INDEX(Lookup!$C$4:$C$7,MATCH(C10,Lookup!$A$4:$A$7,0))</f>
        <v>Technical</v>
      </c>
      <c r="H10" s="13">
        <f t="shared" si="0"/>
        <v>0</v>
      </c>
    </row>
    <row r="11" spans="1:8" x14ac:dyDescent="0.3">
      <c r="A11" s="13">
        <v>8</v>
      </c>
      <c r="B11" s="14" t="s">
        <v>15</v>
      </c>
      <c r="C11" s="9" t="s">
        <v>14</v>
      </c>
      <c r="D11" s="9" t="s">
        <v>11</v>
      </c>
      <c r="E11" s="13">
        <v>40</v>
      </c>
      <c r="F11" s="13">
        <v>2</v>
      </c>
      <c r="G11" s="9" t="str">
        <f>INDEX(Lookup!$C$4:$C$7,MATCH(C11,Lookup!$A$4:$A$7,0))</f>
        <v>Technical</v>
      </c>
      <c r="H11" s="13">
        <f t="shared" si="0"/>
        <v>1</v>
      </c>
    </row>
    <row r="12" spans="1:8" x14ac:dyDescent="0.3">
      <c r="A12" s="13">
        <v>9</v>
      </c>
      <c r="B12" s="14" t="s">
        <v>16</v>
      </c>
      <c r="C12" s="9" t="s">
        <v>8</v>
      </c>
      <c r="D12" s="9" t="s">
        <v>13</v>
      </c>
      <c r="E12" s="13">
        <v>16</v>
      </c>
      <c r="F12" s="13">
        <v>4</v>
      </c>
      <c r="G12" s="9" t="str">
        <f>INDEX(Lookup!$C$4:$C$7,MATCH(C12,Lookup!$A$4:$A$7,0))</f>
        <v>Service</v>
      </c>
      <c r="H12" s="13">
        <f t="shared" si="0"/>
        <v>0</v>
      </c>
    </row>
    <row r="13" spans="1:8" x14ac:dyDescent="0.3">
      <c r="A13" s="13">
        <v>10</v>
      </c>
      <c r="B13" s="14" t="s">
        <v>16</v>
      </c>
      <c r="C13" s="9" t="s">
        <v>10</v>
      </c>
      <c r="D13" s="9" t="s">
        <v>9</v>
      </c>
      <c r="E13" s="13">
        <v>22</v>
      </c>
      <c r="F13" s="13">
        <v>4</v>
      </c>
      <c r="G13" s="9" t="str">
        <f>INDEX(Lookup!$C$4:$C$7,MATCH(C13,Lookup!$A$4:$A$7,0))</f>
        <v>Service</v>
      </c>
      <c r="H13" s="13">
        <f t="shared" si="0"/>
        <v>0</v>
      </c>
    </row>
    <row r="14" spans="1:8" x14ac:dyDescent="0.3">
      <c r="A14" s="13">
        <v>11</v>
      </c>
      <c r="B14" s="14" t="s">
        <v>16</v>
      </c>
      <c r="C14" s="9" t="s">
        <v>12</v>
      </c>
      <c r="D14" s="9" t="s">
        <v>11</v>
      </c>
      <c r="E14" s="13">
        <v>32</v>
      </c>
      <c r="F14" s="13">
        <v>3</v>
      </c>
      <c r="G14" s="9" t="str">
        <f>INDEX(Lookup!$C$4:$C$7,MATCH(C14,Lookup!$A$4:$A$7,0))</f>
        <v>Technical</v>
      </c>
      <c r="H14" s="13">
        <f t="shared" si="0"/>
        <v>1</v>
      </c>
    </row>
    <row r="15" spans="1:8" x14ac:dyDescent="0.3">
      <c r="A15" s="13">
        <v>12</v>
      </c>
      <c r="B15" s="14" t="s">
        <v>16</v>
      </c>
      <c r="C15" s="9" t="s">
        <v>14</v>
      </c>
      <c r="D15" s="9" t="s">
        <v>13</v>
      </c>
      <c r="E15" s="13">
        <v>24</v>
      </c>
      <c r="F15" s="13">
        <v>5</v>
      </c>
      <c r="G15" s="9" t="str">
        <f>INDEX(Lookup!$C$4:$C$7,MATCH(C15,Lookup!$A$4:$A$7,0))</f>
        <v>Technical</v>
      </c>
      <c r="H15" s="13">
        <f t="shared" si="0"/>
        <v>0</v>
      </c>
    </row>
    <row r="17" spans="1:2" x14ac:dyDescent="0.3">
      <c r="A17" s="10" t="s">
        <v>29</v>
      </c>
      <c r="B17" s="11">
        <f>COUNTA(Raw!A4:A16)</f>
        <v>13</v>
      </c>
    </row>
    <row r="18" spans="1:2" x14ac:dyDescent="0.3">
      <c r="A18" s="10" t="s">
        <v>30</v>
      </c>
      <c r="B18" s="11">
        <f>COUNTA(A4:A15)</f>
        <v>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/>
  </sheetViews>
  <sheetFormatPr defaultColWidth="8.6640625" defaultRowHeight="14.4" x14ac:dyDescent="0.3"/>
  <sheetData>
    <row r="1" spans="1:3" x14ac:dyDescent="0.3">
      <c r="A1" t="s">
        <v>20</v>
      </c>
      <c r="B1" t="s">
        <v>2</v>
      </c>
      <c r="C1" t="s">
        <v>5</v>
      </c>
    </row>
    <row r="2" spans="1:3" x14ac:dyDescent="0.3">
      <c r="A2" t="str">
        <f>Clean!G4</f>
        <v>Service</v>
      </c>
      <c r="B2" t="str">
        <f>Clean!B4</f>
        <v>Jan</v>
      </c>
      <c r="C2" s="15">
        <f>Clean!E4</f>
        <v>12</v>
      </c>
    </row>
    <row r="3" spans="1:3" x14ac:dyDescent="0.3">
      <c r="A3" t="str">
        <f>Clean!G5</f>
        <v>Service</v>
      </c>
      <c r="B3" t="str">
        <f>Clean!B5</f>
        <v>Jan</v>
      </c>
      <c r="C3" s="15">
        <f>Clean!E5</f>
        <v>28</v>
      </c>
    </row>
    <row r="4" spans="1:3" x14ac:dyDescent="0.3">
      <c r="A4" t="str">
        <f>Clean!G6</f>
        <v>Technical</v>
      </c>
      <c r="B4" t="str">
        <f>Clean!B6</f>
        <v>Jan</v>
      </c>
      <c r="C4" s="15">
        <f>Clean!E6</f>
        <v>36</v>
      </c>
    </row>
    <row r="5" spans="1:3" x14ac:dyDescent="0.3">
      <c r="A5" t="str">
        <f>Clean!G7</f>
        <v>Technical</v>
      </c>
      <c r="B5" t="str">
        <f>Clean!B7</f>
        <v>Jan</v>
      </c>
      <c r="C5" s="15">
        <f>Clean!E7</f>
        <v>20</v>
      </c>
    </row>
    <row r="6" spans="1:3" x14ac:dyDescent="0.3">
      <c r="A6" t="str">
        <f>Clean!G8</f>
        <v>Service</v>
      </c>
      <c r="B6" t="str">
        <f>Clean!B8</f>
        <v>Feb</v>
      </c>
      <c r="C6" s="15">
        <f>Clean!E8</f>
        <v>8</v>
      </c>
    </row>
    <row r="7" spans="1:3" x14ac:dyDescent="0.3">
      <c r="A7" t="str">
        <f>Clean!G9</f>
        <v>Service</v>
      </c>
      <c r="B7" t="str">
        <f>Clean!B9</f>
        <v>Feb</v>
      </c>
      <c r="C7" s="15">
        <f>Clean!E9</f>
        <v>30</v>
      </c>
    </row>
    <row r="8" spans="1:3" x14ac:dyDescent="0.3">
      <c r="A8" t="str">
        <f>Clean!G10</f>
        <v>Technical</v>
      </c>
      <c r="B8" t="str">
        <f>Clean!B10</f>
        <v>Feb</v>
      </c>
      <c r="C8" s="15">
        <f>Clean!E10</f>
        <v>18</v>
      </c>
    </row>
    <row r="9" spans="1:3" x14ac:dyDescent="0.3">
      <c r="A9" t="str">
        <f>Clean!G11</f>
        <v>Technical</v>
      </c>
      <c r="B9" t="str">
        <f>Clean!B11</f>
        <v>Feb</v>
      </c>
      <c r="C9" s="15">
        <f>Clean!E11</f>
        <v>40</v>
      </c>
    </row>
    <row r="10" spans="1:3" x14ac:dyDescent="0.3">
      <c r="A10" t="str">
        <f>Clean!G12</f>
        <v>Service</v>
      </c>
      <c r="B10" t="str">
        <f>Clean!B12</f>
        <v>Mar</v>
      </c>
      <c r="C10" s="15">
        <f>Clean!E12</f>
        <v>16</v>
      </c>
    </row>
    <row r="11" spans="1:3" x14ac:dyDescent="0.3">
      <c r="A11" t="str">
        <f>Clean!G13</f>
        <v>Service</v>
      </c>
      <c r="B11" t="str">
        <f>Clean!B13</f>
        <v>Mar</v>
      </c>
      <c r="C11" s="15">
        <f>Clean!E13</f>
        <v>22</v>
      </c>
    </row>
    <row r="12" spans="1:3" x14ac:dyDescent="0.3">
      <c r="A12" t="str">
        <f>Clean!G14</f>
        <v>Technical</v>
      </c>
      <c r="B12" t="str">
        <f>Clean!B14</f>
        <v>Mar</v>
      </c>
      <c r="C12" s="15">
        <f>Clean!E14</f>
        <v>32</v>
      </c>
    </row>
    <row r="13" spans="1:3" x14ac:dyDescent="0.3">
      <c r="A13" t="str">
        <f>Clean!G15</f>
        <v>Technical</v>
      </c>
      <c r="B13" t="str">
        <f>Clean!B15</f>
        <v>Mar</v>
      </c>
      <c r="C13" s="15">
        <f>Clean!E15</f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>
      <selection activeCell="E8" sqref="E8"/>
    </sheetView>
  </sheetViews>
  <sheetFormatPr defaultColWidth="8.6640625" defaultRowHeight="14.4" x14ac:dyDescent="0.3"/>
  <cols>
    <col min="1" max="1" width="22" customWidth="1"/>
    <col min="2" max="4" width="10" customWidth="1"/>
    <col min="5" max="5" width="14" customWidth="1"/>
    <col min="6" max="6" width="8" customWidth="1"/>
  </cols>
  <sheetData>
    <row r="1" spans="1:6" ht="17.399999999999999" x14ac:dyDescent="0.3">
      <c r="A1" s="7" t="s">
        <v>31</v>
      </c>
      <c r="B1" s="7"/>
      <c r="C1" s="7"/>
      <c r="D1" s="7"/>
      <c r="E1" s="7"/>
      <c r="F1" s="7"/>
    </row>
    <row r="2" spans="1:6" x14ac:dyDescent="0.3">
      <c r="A2" s="12"/>
    </row>
    <row r="4" spans="1:6" x14ac:dyDescent="0.3">
      <c r="A4" s="17" t="s">
        <v>32</v>
      </c>
      <c r="B4" s="17" t="s">
        <v>46</v>
      </c>
    </row>
    <row r="5" spans="1:6" x14ac:dyDescent="0.3">
      <c r="A5" s="17" t="s">
        <v>48</v>
      </c>
      <c r="B5" t="s">
        <v>7</v>
      </c>
      <c r="C5" t="s">
        <v>15</v>
      </c>
      <c r="D5" t="s">
        <v>16</v>
      </c>
      <c r="E5" t="s">
        <v>47</v>
      </c>
    </row>
    <row r="6" spans="1:6" x14ac:dyDescent="0.3">
      <c r="A6" s="18" t="s">
        <v>22</v>
      </c>
      <c r="B6" s="15">
        <v>20</v>
      </c>
      <c r="C6" s="15">
        <v>19</v>
      </c>
      <c r="D6" s="15">
        <v>19</v>
      </c>
      <c r="E6" s="15">
        <v>19.333333333333332</v>
      </c>
    </row>
    <row r="7" spans="1:6" x14ac:dyDescent="0.3">
      <c r="A7" s="18" t="s">
        <v>25</v>
      </c>
      <c r="B7" s="15">
        <v>28</v>
      </c>
      <c r="C7" s="15">
        <v>29</v>
      </c>
      <c r="D7" s="15">
        <v>28</v>
      </c>
      <c r="E7" s="15">
        <v>28.333333333333332</v>
      </c>
    </row>
    <row r="8" spans="1:6" x14ac:dyDescent="0.3">
      <c r="A8" s="18" t="s">
        <v>47</v>
      </c>
      <c r="B8" s="15">
        <v>24</v>
      </c>
      <c r="C8" s="15">
        <v>24</v>
      </c>
      <c r="D8" s="15">
        <v>23.5</v>
      </c>
      <c r="E8" s="15">
        <v>23.833333333333332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opLeftCell="A30" zoomScaleNormal="100" workbookViewId="0">
      <selection activeCell="G11" sqref="G11"/>
    </sheetView>
  </sheetViews>
  <sheetFormatPr defaultColWidth="8.6640625" defaultRowHeight="14.4" x14ac:dyDescent="0.3"/>
  <cols>
    <col min="1" max="1" width="22" customWidth="1"/>
    <col min="2" max="2" width="14" customWidth="1"/>
    <col min="3" max="6" width="10" customWidth="1"/>
  </cols>
  <sheetData>
    <row r="1" spans="1:6" ht="17.399999999999999" x14ac:dyDescent="0.3">
      <c r="A1" s="7" t="s">
        <v>33</v>
      </c>
      <c r="B1" s="7"/>
      <c r="C1" s="7"/>
      <c r="D1" s="7"/>
      <c r="E1" s="7"/>
      <c r="F1" s="7"/>
    </row>
    <row r="3" spans="1:6" x14ac:dyDescent="0.3">
      <c r="A3" s="6" t="s">
        <v>34</v>
      </c>
      <c r="B3" s="6"/>
    </row>
    <row r="4" spans="1:6" x14ac:dyDescent="0.3">
      <c r="A4" s="8" t="s">
        <v>35</v>
      </c>
      <c r="B4" s="8" t="s">
        <v>36</v>
      </c>
    </row>
    <row r="5" spans="1:6" x14ac:dyDescent="0.3">
      <c r="A5" s="9" t="s">
        <v>9</v>
      </c>
      <c r="B5" s="9">
        <f>COUNTIFS(Clean!$D$4:$D$15,A5,Clean!$H$4:$H$15,1)</f>
        <v>0</v>
      </c>
    </row>
    <row r="6" spans="1:6" x14ac:dyDescent="0.3">
      <c r="A6" s="9" t="s">
        <v>11</v>
      </c>
      <c r="B6" s="9">
        <f>COUNTIFS(Clean!$D$4:$D$15,A6,Clean!$H$4:$H$15,1)</f>
        <v>3</v>
      </c>
    </row>
    <row r="7" spans="1:6" x14ac:dyDescent="0.3">
      <c r="A7" s="9" t="s">
        <v>13</v>
      </c>
      <c r="B7" s="9">
        <f>COUNTIFS(Clean!$D$4:$D$15,A7,Clean!$H$4:$H$15,1)</f>
        <v>2</v>
      </c>
    </row>
    <row r="9" spans="1:6" x14ac:dyDescent="0.3">
      <c r="A9" s="6" t="s">
        <v>37</v>
      </c>
      <c r="B9" s="6"/>
      <c r="C9" s="6"/>
      <c r="D9" s="6"/>
    </row>
    <row r="10" spans="1:6" x14ac:dyDescent="0.3">
      <c r="A10" s="8" t="s">
        <v>38</v>
      </c>
      <c r="B10" s="8" t="s">
        <v>7</v>
      </c>
      <c r="C10" s="8" t="s">
        <v>15</v>
      </c>
      <c r="D10" s="8" t="s">
        <v>16</v>
      </c>
    </row>
    <row r="11" spans="1:6" x14ac:dyDescent="0.3">
      <c r="A11" s="9" t="s">
        <v>22</v>
      </c>
      <c r="B11" s="16">
        <f>IFERROR(AVERAGEIFS(Clean!$E$4:$E$15,Clean!$G$4:$G$15,$A11,Clean!$B$4:$B$15,B$10),0)</f>
        <v>20</v>
      </c>
      <c r="C11" s="16">
        <f>IFERROR(AVERAGEIFS(Clean!$E$4:$E$15,Clean!$G$4:$G$15,$A11,Clean!$B$4:$B$15,C$10),0)</f>
        <v>19</v>
      </c>
      <c r="D11" s="16">
        <f>IFERROR(AVERAGEIFS(Clean!$E$4:$E$15,Clean!$G$4:$G$15,$A11,Clean!$B$4:$B$15,D$10),0)</f>
        <v>19</v>
      </c>
    </row>
    <row r="12" spans="1:6" x14ac:dyDescent="0.3">
      <c r="A12" s="9" t="s">
        <v>25</v>
      </c>
      <c r="B12" s="16">
        <f>IFERROR(AVERAGEIFS(Clean!$E$4:$E$15,Clean!$G$4:$G$15,$A12,Clean!$B$4:$B$15,B$10),0)</f>
        <v>28</v>
      </c>
      <c r="C12" s="16">
        <f>IFERROR(AVERAGEIFS(Clean!$E$4:$E$15,Clean!$G$4:$G$15,$A12,Clean!$B$4:$B$15,C$10),0)</f>
        <v>29</v>
      </c>
      <c r="D12" s="16">
        <f>IFERROR(AVERAGEIFS(Clean!$E$4:$E$15,Clean!$G$4:$G$15,$A12,Clean!$B$4:$B$15,D$10),0)</f>
        <v>28</v>
      </c>
    </row>
    <row r="13" spans="1:6" x14ac:dyDescent="0.3">
      <c r="A13" s="5"/>
      <c r="B13" s="5"/>
      <c r="C13" s="5"/>
      <c r="D13" s="5"/>
      <c r="E13" s="5"/>
      <c r="F13" s="5"/>
    </row>
    <row r="15" spans="1:6" x14ac:dyDescent="0.3">
      <c r="A15" s="6" t="s">
        <v>39</v>
      </c>
      <c r="B15" s="6"/>
      <c r="C15" s="6"/>
    </row>
    <row r="16" spans="1:6" x14ac:dyDescent="0.3">
      <c r="A16" s="8" t="s">
        <v>38</v>
      </c>
      <c r="B16" s="8" t="s">
        <v>40</v>
      </c>
      <c r="C16" s="8" t="s">
        <v>41</v>
      </c>
    </row>
    <row r="17" spans="1:3" x14ac:dyDescent="0.3">
      <c r="A17" s="9" t="s">
        <v>22</v>
      </c>
      <c r="B17" s="9">
        <f>COUNTIF(Clean!$G$4:$G$15,A17)</f>
        <v>6</v>
      </c>
      <c r="C17" s="16">
        <f>AVERAGEIF(Clean!$G$4:$G$15,A17,Clean!$F$4:$F$15)</f>
        <v>3.8333333333333335</v>
      </c>
    </row>
    <row r="18" spans="1:3" x14ac:dyDescent="0.3">
      <c r="A18" s="9" t="s">
        <v>25</v>
      </c>
      <c r="B18" s="9">
        <f>COUNTIF(Clean!$G$4:$G$15,A18)</f>
        <v>6</v>
      </c>
      <c r="C18" s="16">
        <f>AVERAGEIF(Clean!$G$4:$G$15,A18,Clean!$F$4:$F$15)</f>
        <v>3.3333333333333335</v>
      </c>
    </row>
  </sheetData>
  <mergeCells count="5">
    <mergeCell ref="A1:F1"/>
    <mergeCell ref="A3:B3"/>
    <mergeCell ref="A9:D9"/>
    <mergeCell ref="A13:F13"/>
    <mergeCell ref="A15:C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6"/>
  <sheetViews>
    <sheetView showGridLines="0" tabSelected="1" topLeftCell="A2" zoomScale="117" zoomScaleNormal="100" workbookViewId="0">
      <selection activeCell="P2" sqref="P2"/>
    </sheetView>
  </sheetViews>
  <sheetFormatPr defaultColWidth="8.6640625" defaultRowHeight="14.4" x14ac:dyDescent="0.3"/>
  <cols>
    <col min="1" max="1" width="3" customWidth="1"/>
    <col min="2" max="3" width="12" customWidth="1"/>
    <col min="4" max="4" width="3" customWidth="1"/>
    <col min="5" max="6" width="12" customWidth="1"/>
    <col min="7" max="7" width="3" customWidth="1"/>
    <col min="8" max="9" width="12" customWidth="1"/>
  </cols>
  <sheetData>
    <row r="2" spans="2:12" ht="22.8" x14ac:dyDescent="0.4">
      <c r="B2" s="4" t="s">
        <v>42</v>
      </c>
      <c r="C2" s="4"/>
      <c r="D2" s="4"/>
      <c r="E2" s="4"/>
      <c r="F2" s="4"/>
      <c r="G2" s="4"/>
      <c r="H2" s="4"/>
    </row>
    <row r="4" spans="2:12" x14ac:dyDescent="0.3">
      <c r="B4" s="3" t="s">
        <v>43</v>
      </c>
      <c r="C4" s="3"/>
      <c r="E4" s="3" t="s">
        <v>44</v>
      </c>
      <c r="F4" s="3"/>
      <c r="H4" s="3" t="s">
        <v>45</v>
      </c>
      <c r="I4" s="3"/>
      <c r="K4" s="3" t="s">
        <v>41</v>
      </c>
      <c r="L4" s="3"/>
    </row>
    <row r="5" spans="2:12" x14ac:dyDescent="0.3">
      <c r="B5" s="2">
        <f>COUNTA(Clean!$D$4:$D$15)</f>
        <v>12</v>
      </c>
      <c r="C5" s="2"/>
      <c r="E5" s="1">
        <f>AVERAGE(Clean!$E$4:$E$15)</f>
        <v>23.833333333333332</v>
      </c>
      <c r="F5" s="1"/>
      <c r="H5" s="2">
        <f>SUM(Clean!$H$4:$H$15)</f>
        <v>5</v>
      </c>
      <c r="I5" s="2"/>
      <c r="K5" s="1">
        <f>AVERAGE(Clean!$F$4:$F$15)</f>
        <v>3.5833333333333335</v>
      </c>
      <c r="L5" s="1"/>
    </row>
    <row r="6" spans="2:12" x14ac:dyDescent="0.3">
      <c r="B6" s="2"/>
      <c r="C6" s="2"/>
      <c r="E6" s="1"/>
      <c r="F6" s="1"/>
      <c r="H6" s="2"/>
      <c r="I6" s="2"/>
      <c r="K6" s="1"/>
      <c r="L6" s="1"/>
    </row>
  </sheetData>
  <mergeCells count="9">
    <mergeCell ref="B5:C6"/>
    <mergeCell ref="E5:F6"/>
    <mergeCell ref="H5:I6"/>
    <mergeCell ref="K5:L6"/>
    <mergeCell ref="B2:H2"/>
    <mergeCell ref="B4:C4"/>
    <mergeCell ref="E4:F4"/>
    <mergeCell ref="H4:I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Lookup</vt:lpstr>
      <vt:lpstr>Clean</vt:lpstr>
      <vt:lpstr>PivotData</vt:lpstr>
      <vt:lpstr>PivotTable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ambaliyaasvi@outlook.com</cp:lastModifiedBy>
  <cp:revision>1</cp:revision>
  <dcterms:created xsi:type="dcterms:W3CDTF">2026-09-26T07:02:19Z</dcterms:created>
  <dcterms:modified xsi:type="dcterms:W3CDTF">2026-09-26T07:17:22Z</dcterms:modified>
  <dc:language>en-US</dc:language>
</cp:coreProperties>
</file>